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ester 6\IT Project Management\assignment\"/>
    </mc:Choice>
  </mc:AlternateContent>
  <xr:revisionPtr revIDLastSave="0" documentId="13_ncr:1_{DE564624-D3CC-4FA1-9C5E-7FF0DF0E272A}" xr6:coauthVersionLast="47" xr6:coauthVersionMax="47" xr10:uidLastSave="{00000000-0000-0000-0000-000000000000}"/>
  <bookViews>
    <workbookView xWindow="-108" yWindow="-108" windowWidth="23256" windowHeight="12456" xr2:uid="{53629ABA-90BA-4810-A617-BA87392AD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/>
  <c r="E20" i="1"/>
  <c r="D20" i="1"/>
  <c r="C20" i="1"/>
  <c r="B20" i="1"/>
  <c r="F19" i="1"/>
  <c r="E19" i="1"/>
  <c r="D19" i="1"/>
  <c r="C19" i="1"/>
  <c r="B19" i="1"/>
  <c r="F17" i="1"/>
  <c r="E17" i="1"/>
  <c r="D17" i="1"/>
  <c r="C17" i="1"/>
  <c r="E16" i="1"/>
  <c r="D16" i="1"/>
  <c r="C16" i="1"/>
  <c r="B16" i="1"/>
  <c r="F13" i="1"/>
  <c r="E13" i="1"/>
  <c r="D13" i="1"/>
  <c r="C13" i="1"/>
  <c r="B13" i="1"/>
  <c r="E12" i="1"/>
  <c r="D12" i="1"/>
  <c r="C12" i="1"/>
  <c r="B12" i="1"/>
</calcChain>
</file>

<file path=xl/sharedStrings.xml><?xml version="1.0" encoding="utf-8"?>
<sst xmlns="http://schemas.openxmlformats.org/spreadsheetml/2006/main" count="33" uniqueCount="32">
  <si>
    <t>Financial Analysis for SmartPantry</t>
  </si>
  <si>
    <t>Created by: Sujina Tuladhar, Pasang Lama , Manav Rawal</t>
  </si>
  <si>
    <t>Discount rate</t>
  </si>
  <si>
    <t>Note: 3-year business case. Year 0 = initial investment. Discount rate applied per year.</t>
  </si>
  <si>
    <t>Assume the project is completed in Year 0</t>
  </si>
  <si>
    <t>Year</t>
  </si>
  <si>
    <t>Total</t>
  </si>
  <si>
    <t>Costs</t>
  </si>
  <si>
    <t>Discount factor</t>
  </si>
  <si>
    <t>Discounted costs</t>
  </si>
  <si>
    <t>Benefits</t>
  </si>
  <si>
    <t>Discounted benefits</t>
  </si>
  <si>
    <t>NPV</t>
  </si>
  <si>
    <t>ROI</t>
  </si>
  <si>
    <t>Payback in Year X</t>
  </si>
  <si>
    <t>approx 2.3 years</t>
  </si>
  <si>
    <t>Assumptions</t>
  </si>
  <si>
    <t>1. Discount rate = 8% as required by BIT301 Assignment 1.</t>
  </si>
  <si>
    <t>2. Total Initial Investment (Year 0) = RM 92,000, comprising:</t>
  </si>
  <si>
    <t xml:space="preserve">    – UI/UX Design (Figma wireframes + prototyping): RM 5,000</t>
  </si>
  <si>
    <t xml:space="preserve">    – Cloud Hosting (AWS EC2, Year 1): RM 6,000</t>
  </si>
  <si>
    <t>3. Year 1 net benefit RM 25,000: freemium model launch, grant funding.</t>
  </si>
  <si>
    <t>6. No additional costs assumed in Years 1–3 (all captured within Year 0 investment).</t>
  </si>
  <si>
    <t xml:space="preserve">    – Subtotal: RM 83,640</t>
  </si>
  <si>
    <t xml:space="preserve">    – Reserves (10% Contingency): RM 8,364</t>
  </si>
  <si>
    <t>Date: 24/06/2026</t>
  </si>
  <si>
    <t>Discounted benefits  costs</t>
  </si>
  <si>
    <t>Cumulative benefits  costs</t>
  </si>
  <si>
    <t>Year 1 recovers RM 25,000, Year 2 recovers RM 50,000 (cumulative RM 75,000)and remaining RM 17,000 recovered early in Year 3</t>
  </si>
  <si>
    <t xml:space="preserve">    – Development labor (908 hrs @ RM 80/hr ): RM 72,640</t>
  </si>
  <si>
    <t>4. Year 2 net benefit RM 50,000: premium subscriptions</t>
  </si>
  <si>
    <t>5. Year 3 net benefit RM 75,000: scaled user base and in app advertising.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</si>
</sst>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%"/>
  </numFmts>
  <fonts count="5" x14ac:knownFonts="1">
    <font>
      <sz val="11"/>
      <color theme="1"/>
      <name val="Tahoma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9" fontId="4" fillId="0" borderId="0" xfId="0" applyNumberFormat="1" applyFont="1"/>
    <xf numFmtId="0" fontId="1" fillId="0" borderId="0" xfId="0" applyFont="1"/>
    <xf numFmtId="9" fontId="3" fillId="0" borderId="0" xfId="0" applyNumberFormat="1" applyFont="1"/>
    <xf numFmtId="0" fontId="3" fillId="0" borderId="0" xfId="0" applyFont="1" applyAlignment="1">
      <alignment horizontal="center"/>
    </xf>
    <xf numFmtId="1" fontId="2" fillId="0" borderId="0" xfId="0" applyNumberFormat="1" applyFont="1"/>
    <xf numFmtId="18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3AE2A-CDB0-4DA1-8A8A-674ADD9967D1}">
  <dimension ref="A1:L36"/>
  <sheetViews>
    <sheetView tabSelected="1" topLeftCell="A6" workbookViewId="0">
      <selection activeCell="I27" sqref="I27"/>
    </sheetView>
  </sheetViews>
  <sheetFormatPr defaultRowHeight="15.6" x14ac:dyDescent="0.3"/>
  <cols>
    <col min="1" max="1" width="31.19921875" style="3" customWidth="1"/>
    <col min="2" max="16384" width="8.796875" style="3"/>
  </cols>
  <sheetData>
    <row r="1" spans="1:9" x14ac:dyDescent="0.3">
      <c r="A1" s="2" t="s">
        <v>0</v>
      </c>
      <c r="B1" s="2"/>
      <c r="C1" s="2"/>
      <c r="D1" s="2"/>
      <c r="E1" s="2"/>
      <c r="F1" s="2"/>
      <c r="G1" s="2"/>
    </row>
    <row r="3" spans="1:9" x14ac:dyDescent="0.3">
      <c r="A3" s="1" t="s">
        <v>1</v>
      </c>
      <c r="I3" s="1" t="s">
        <v>25</v>
      </c>
    </row>
    <row r="5" spans="1:9" x14ac:dyDescent="0.3">
      <c r="A5" s="4" t="s">
        <v>3</v>
      </c>
      <c r="B5" s="5"/>
    </row>
    <row r="7" spans="1:9" x14ac:dyDescent="0.3">
      <c r="A7" s="6" t="s">
        <v>2</v>
      </c>
      <c r="B7" s="7">
        <v>0.08</v>
      </c>
    </row>
    <row r="9" spans="1:9" x14ac:dyDescent="0.3">
      <c r="A9" s="4" t="s">
        <v>4</v>
      </c>
      <c r="D9" s="6" t="s">
        <v>5</v>
      </c>
    </row>
    <row r="10" spans="1:9" x14ac:dyDescent="0.3">
      <c r="B10" s="8">
        <v>0</v>
      </c>
      <c r="C10" s="8">
        <v>1</v>
      </c>
      <c r="D10" s="8">
        <v>2</v>
      </c>
      <c r="E10" s="8">
        <v>3</v>
      </c>
      <c r="F10" s="3" t="s">
        <v>6</v>
      </c>
    </row>
    <row r="11" spans="1:9" x14ac:dyDescent="0.3">
      <c r="A11" s="3" t="s">
        <v>7</v>
      </c>
      <c r="B11" s="3">
        <v>92000</v>
      </c>
    </row>
    <row r="12" spans="1:9" x14ac:dyDescent="0.3">
      <c r="A12" s="4" t="s">
        <v>8</v>
      </c>
      <c r="B12" s="3">
        <f>1/(B7)^0</f>
        <v>1</v>
      </c>
      <c r="C12" s="3">
        <f>1/(1+B7)^1</f>
        <v>0.92592592592592582</v>
      </c>
      <c r="D12" s="3">
        <f>1/(1+B7)^2</f>
        <v>0.85733882030178321</v>
      </c>
      <c r="E12" s="3">
        <f>1/(1+B7)^3</f>
        <v>0.79383224102016958</v>
      </c>
    </row>
    <row r="13" spans="1:9" x14ac:dyDescent="0.3">
      <c r="A13" s="6" t="s">
        <v>9</v>
      </c>
      <c r="B13" s="3">
        <f>B11*B12</f>
        <v>92000</v>
      </c>
      <c r="C13" s="3">
        <f>C11*C12</f>
        <v>0</v>
      </c>
      <c r="D13" s="3">
        <f>D11*D12</f>
        <v>0</v>
      </c>
      <c r="E13" s="3">
        <f>E11*E12</f>
        <v>0</v>
      </c>
      <c r="F13" s="3">
        <f>SUM(B13:E13)</f>
        <v>92000</v>
      </c>
    </row>
    <row r="15" spans="1:9" x14ac:dyDescent="0.3">
      <c r="A15" s="6" t="s">
        <v>10</v>
      </c>
      <c r="C15" s="3">
        <v>25000</v>
      </c>
      <c r="D15" s="3">
        <v>50000</v>
      </c>
      <c r="E15" s="3">
        <v>75000</v>
      </c>
    </row>
    <row r="16" spans="1:9" x14ac:dyDescent="0.3">
      <c r="A16" s="4" t="s">
        <v>8</v>
      </c>
      <c r="B16" s="3">
        <f>1/(1+B7)^0</f>
        <v>1</v>
      </c>
      <c r="C16" s="3">
        <f>1/(1+B7)^1</f>
        <v>0.92592592592592582</v>
      </c>
      <c r="D16" s="3">
        <f>1/(1+B7)^2</f>
        <v>0.85733882030178321</v>
      </c>
      <c r="E16" s="3">
        <f>1/(1+B7)^3</f>
        <v>0.79383224102016958</v>
      </c>
    </row>
    <row r="17" spans="1:12" x14ac:dyDescent="0.3">
      <c r="A17" s="6" t="s">
        <v>11</v>
      </c>
      <c r="C17" s="9">
        <f>C15*C16</f>
        <v>23148.148148148146</v>
      </c>
      <c r="D17" s="9">
        <f>D15*D16</f>
        <v>42866.941015089164</v>
      </c>
      <c r="E17" s="9">
        <f>E15*E16</f>
        <v>59537.418076512717</v>
      </c>
      <c r="F17" s="9">
        <f>SUM(C17:E17)</f>
        <v>125552.50723975003</v>
      </c>
    </row>
    <row r="19" spans="1:12" x14ac:dyDescent="0.3">
      <c r="A19" s="4" t="s">
        <v>26</v>
      </c>
      <c r="B19" s="9">
        <f>B17-B13</f>
        <v>-92000</v>
      </c>
      <c r="C19" s="9">
        <f>C17-C13</f>
        <v>23148.148148148146</v>
      </c>
      <c r="D19" s="9">
        <f>D17-D13</f>
        <v>42866.941015089164</v>
      </c>
      <c r="E19" s="9">
        <f>E17-E13</f>
        <v>59537.418076512717</v>
      </c>
      <c r="F19" s="9">
        <f>SUM(B19:E19)</f>
        <v>33552.507239750026</v>
      </c>
      <c r="G19" s="6" t="s">
        <v>12</v>
      </c>
    </row>
    <row r="20" spans="1:12" x14ac:dyDescent="0.3">
      <c r="A20" s="4" t="s">
        <v>27</v>
      </c>
      <c r="B20" s="9">
        <f>B19</f>
        <v>-92000</v>
      </c>
      <c r="C20" s="9">
        <f>B20+C19</f>
        <v>-68851.851851851854</v>
      </c>
      <c r="D20" s="9">
        <f>C20+D19</f>
        <v>-25984.91083676269</v>
      </c>
      <c r="E20" s="9">
        <f>D20+E19</f>
        <v>33552.507239750026</v>
      </c>
      <c r="F20" s="9"/>
    </row>
    <row r="22" spans="1:12" x14ac:dyDescent="0.3">
      <c r="A22" s="6" t="s">
        <v>13</v>
      </c>
      <c r="B22" s="10">
        <f>(F17-F13)/F13</f>
        <v>0.36470116564945687</v>
      </c>
    </row>
    <row r="23" spans="1:12" x14ac:dyDescent="0.3">
      <c r="A23" s="4" t="s">
        <v>14</v>
      </c>
      <c r="B23" s="4" t="s">
        <v>15</v>
      </c>
      <c r="C23" s="4" t="s">
        <v>28</v>
      </c>
      <c r="D23" s="4"/>
      <c r="E23" s="4"/>
      <c r="F23" s="4"/>
      <c r="G23" s="4"/>
      <c r="H23" s="4"/>
      <c r="I23" s="4"/>
      <c r="J23" s="4"/>
      <c r="K23" s="4"/>
      <c r="L23" s="4"/>
    </row>
    <row r="25" spans="1:12" x14ac:dyDescent="0.3">
      <c r="A25" s="6" t="s">
        <v>16</v>
      </c>
    </row>
    <row r="26" spans="1:12" x14ac:dyDescent="0.3">
      <c r="A26" s="4" t="s">
        <v>17</v>
      </c>
    </row>
    <row r="27" spans="1:12" x14ac:dyDescent="0.3">
      <c r="A27" s="4" t="s">
        <v>18</v>
      </c>
    </row>
    <row r="28" spans="1:12" x14ac:dyDescent="0.3">
      <c r="A28" s="4" t="s">
        <v>29</v>
      </c>
    </row>
    <row r="29" spans="1:12" x14ac:dyDescent="0.3">
      <c r="A29" s="4" t="s">
        <v>19</v>
      </c>
    </row>
    <row r="30" spans="1:12" x14ac:dyDescent="0.3">
      <c r="A30" s="4" t="s">
        <v>20</v>
      </c>
    </row>
    <row r="31" spans="1:12" x14ac:dyDescent="0.3">
      <c r="A31" s="4" t="s">
        <v>23</v>
      </c>
    </row>
    <row r="32" spans="1:12" x14ac:dyDescent="0.3">
      <c r="A32" s="4" t="s">
        <v>24</v>
      </c>
    </row>
    <row r="33" spans="1:1" x14ac:dyDescent="0.3">
      <c r="A33" s="4" t="s">
        <v>21</v>
      </c>
    </row>
    <row r="34" spans="1:1" x14ac:dyDescent="0.3">
      <c r="A34" s="4" t="s">
        <v>30</v>
      </c>
    </row>
    <row r="35" spans="1:1" x14ac:dyDescent="0.3">
      <c r="A35" s="4" t="s">
        <v>31</v>
      </c>
    </row>
    <row r="36" spans="1:1" x14ac:dyDescent="0.3">
      <c r="A36" s="4" t="s">
        <v>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Sujina Tuladhar</dc:creator>
  <cp:lastModifiedBy>Sujina Tuladhar</cp:lastModifiedBy>
  <dcterms:created xsi:type="dcterms:W3CDTF">2026-07-08T15:21:45Z</dcterms:created>
  <dcterms:modified xsi:type="dcterms:W3CDTF">2026-07-10T05:49:06Z</dcterms:modified>
</cp:coreProperties>
</file>