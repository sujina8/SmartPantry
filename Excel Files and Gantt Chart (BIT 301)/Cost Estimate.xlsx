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IT Project Management\assignment\"/>
    </mc:Choice>
  </mc:AlternateContent>
  <xr:revisionPtr revIDLastSave="0" documentId="13_ncr:1_{B163D063-6DBD-4ECD-9E9C-1B53FAEE165F}" xr6:coauthVersionLast="47" xr6:coauthVersionMax="47" xr10:uidLastSave="{00000000-0000-0000-0000-000000000000}"/>
  <bookViews>
    <workbookView xWindow="-108" yWindow="-108" windowWidth="23256" windowHeight="12456" xr2:uid="{3B28AC6D-3CE2-4707-B5E8-FBAA55440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1" l="1"/>
  <c r="C47" i="1" s="1"/>
  <c r="J45" i="1"/>
  <c r="E23" i="1"/>
  <c r="I23" i="1" s="1"/>
  <c r="K23" i="1" s="1"/>
  <c r="E24" i="1"/>
  <c r="I24" i="1" s="1"/>
  <c r="K24" i="1" s="1"/>
  <c r="E25" i="1"/>
  <c r="I25" i="1" s="1"/>
  <c r="K25" i="1" s="1"/>
  <c r="E26" i="1"/>
  <c r="I26" i="1" s="1"/>
  <c r="K26" i="1" s="1"/>
  <c r="E28" i="1"/>
  <c r="I28" i="1" s="1"/>
  <c r="K28" i="1" s="1"/>
  <c r="E29" i="1"/>
  <c r="I29" i="1" s="1"/>
  <c r="K29" i="1" s="1"/>
  <c r="E30" i="1"/>
  <c r="I30" i="1" s="1"/>
  <c r="K30" i="1" s="1"/>
  <c r="E32" i="1"/>
  <c r="I32" i="1" s="1"/>
  <c r="K32" i="1" s="1"/>
  <c r="E33" i="1"/>
  <c r="I33" i="1" s="1"/>
  <c r="K33" i="1" s="1"/>
  <c r="E34" i="1"/>
  <c r="I34" i="1" s="1"/>
  <c r="K34" i="1" s="1"/>
  <c r="E36" i="1"/>
  <c r="I36" i="1" s="1"/>
  <c r="K36" i="1" s="1"/>
  <c r="E37" i="1"/>
  <c r="I37" i="1" s="1"/>
  <c r="K37" i="1" s="1"/>
  <c r="E38" i="1"/>
  <c r="I38" i="1" s="1"/>
  <c r="K38" i="1" s="1"/>
  <c r="E39" i="1"/>
  <c r="I39" i="1" s="1"/>
  <c r="K39" i="1" s="1"/>
  <c r="E43" i="1"/>
  <c r="I43" i="1" s="1"/>
  <c r="K43" i="1" s="1"/>
  <c r="E41" i="1"/>
  <c r="I41" i="1" s="1"/>
  <c r="K41" i="1" s="1"/>
  <c r="E9" i="1"/>
  <c r="I9" i="1" s="1"/>
  <c r="K9" i="1" s="1"/>
  <c r="E10" i="1"/>
  <c r="I10" i="1" s="1"/>
  <c r="K10" i="1" s="1"/>
  <c r="E12" i="1"/>
  <c r="I12" i="1" s="1"/>
  <c r="K12" i="1" s="1"/>
  <c r="E13" i="1"/>
  <c r="I13" i="1" s="1"/>
  <c r="K13" i="1" s="1"/>
  <c r="E14" i="1"/>
  <c r="I14" i="1" s="1"/>
  <c r="K14" i="1" s="1"/>
  <c r="E15" i="1"/>
  <c r="I15" i="1" s="1"/>
  <c r="K15" i="1" s="1"/>
  <c r="E16" i="1"/>
  <c r="I16" i="1" s="1"/>
  <c r="K16" i="1" s="1"/>
  <c r="E17" i="1"/>
  <c r="I17" i="1" s="1"/>
  <c r="K17" i="1" s="1"/>
  <c r="E18" i="1"/>
  <c r="I18" i="1" s="1"/>
  <c r="K18" i="1" s="1"/>
  <c r="E19" i="1"/>
  <c r="I19" i="1" s="1"/>
  <c r="K19" i="1" s="1"/>
  <c r="E20" i="1"/>
  <c r="I20" i="1" s="1"/>
  <c r="K20" i="1" s="1"/>
  <c r="E8" i="1"/>
  <c r="I8" i="1" s="1"/>
  <c r="K8" i="1" l="1"/>
  <c r="K45" i="1" s="1"/>
  <c r="I45" i="1"/>
  <c r="E45" i="1"/>
  <c r="K46" i="1" l="1"/>
  <c r="K47" i="1" s="1"/>
</calcChain>
</file>

<file path=xl/sharedStrings.xml><?xml version="1.0" encoding="utf-8"?>
<sst xmlns="http://schemas.openxmlformats.org/spreadsheetml/2006/main" count="122" uniqueCount="114">
  <si>
    <t>Cost Estimate</t>
  </si>
  <si>
    <t>Internal</t>
  </si>
  <si>
    <t>External</t>
  </si>
  <si>
    <t>Total</t>
  </si>
  <si>
    <t>RM/hour</t>
  </si>
  <si>
    <t>Labor (hrs)</t>
  </si>
  <si>
    <t>RM Total</t>
  </si>
  <si>
    <t>Labor RM</t>
  </si>
  <si>
    <t>Cost RM</t>
  </si>
  <si>
    <t>WBS ID</t>
  </si>
  <si>
    <t>Work Item / Task</t>
  </si>
  <si>
    <t xml:space="preserve">  UC1 User Registration and Privacy</t>
  </si>
  <si>
    <t xml:space="preserve">  UC2 Food Inventory Management</t>
  </si>
  <si>
    <t xml:space="preserve">  UC3 Browse and Claim Donations</t>
  </si>
  <si>
    <t xml:space="preserve">  UC4 Food Analytics Dashboard</t>
  </si>
  <si>
    <t xml:space="preserve">  UC5 Notifications System</t>
  </si>
  <si>
    <t xml:space="preserve">  UC6 Weekly Meal Planner</t>
  </si>
  <si>
    <t xml:space="preserve">  White Box Testing (pytest)</t>
  </si>
  <si>
    <t xml:space="preserve">  Black Box Testing (Selenium)</t>
  </si>
  <si>
    <t xml:space="preserve">  User Acceptance Testing (UAT)</t>
  </si>
  <si>
    <t xml:space="preserve">  Bug Fixing</t>
  </si>
  <si>
    <t xml:space="preserve">  Local Environment Setup</t>
  </si>
  <si>
    <t xml:space="preserve">  Application Demonstration Preparation</t>
  </si>
  <si>
    <t>Subtotal</t>
  </si>
  <si>
    <t>Reserves (10% Contingency)</t>
  </si>
  <si>
    <t>TOTAL PROJECT COST ESTIMATE</t>
  </si>
  <si>
    <t>ASSUMPTIONS</t>
  </si>
  <si>
    <t>1. Internal labor rate = RM 80/hr (industry standard for junior web developer in Malaysia).</t>
  </si>
  <si>
    <t>4. Non-labor: UI/UX design (RM 5,000), AWS EC2 hosting setup (RM 6,000).</t>
  </si>
  <si>
    <t>5. 10% contingency reserve for unexpected costs.</t>
  </si>
  <si>
    <t>6. All dev tools (Django, React, PostgreSQL, GitHub, GanttProject) are free/open-source.</t>
  </si>
  <si>
    <t>Non-labor</t>
  </si>
  <si>
    <t>RM</t>
  </si>
  <si>
    <t>Initiating</t>
  </si>
  <si>
    <t>Business Case</t>
  </si>
  <si>
    <t>Three Sphere Model</t>
  </si>
  <si>
    <t>Project Charter</t>
  </si>
  <si>
    <t>Planning</t>
  </si>
  <si>
    <t>Scope Statement</t>
  </si>
  <si>
    <t>WorkBreakdown Structure (WBS)</t>
  </si>
  <si>
    <t>Work Item List</t>
  </si>
  <si>
    <t>Communication Management Plan</t>
  </si>
  <si>
    <t>Quality Management Plan</t>
  </si>
  <si>
    <t>Risk Management Plan</t>
  </si>
  <si>
    <t xml:space="preserve">Stakeholder Management </t>
  </si>
  <si>
    <t>Review and Finalize Document</t>
  </si>
  <si>
    <t>Analysis and Design</t>
  </si>
  <si>
    <t>Requirements Gathering</t>
  </si>
  <si>
    <t>System Architecture Design</t>
  </si>
  <si>
    <t>Database Scheme design</t>
  </si>
  <si>
    <t>UI/UX Wireframes (Figma)</t>
  </si>
  <si>
    <t>Development - Iteration 1</t>
  </si>
  <si>
    <t>Development - Iteration 2</t>
  </si>
  <si>
    <t>Testing</t>
  </si>
  <si>
    <t>2. No external labor - all development by Sujina Tuladhar, Pasang Lama, and Manav Rawal.</t>
  </si>
  <si>
    <t>7. Hardware already owned by team - no additional hardware cost.</t>
  </si>
  <si>
    <t>Project Name: Smart Pantry</t>
  </si>
  <si>
    <t>Prepared By: Sujina Tuladhar, Pasang Lama, Manav Rawal</t>
  </si>
  <si>
    <t>3. Total estimated internal hours = 908 hrs.</t>
  </si>
  <si>
    <t>Date:23th June 2026</t>
  </si>
  <si>
    <t>Executing</t>
  </si>
  <si>
    <t>3.1.1</t>
  </si>
  <si>
    <t>3.1.2</t>
  </si>
  <si>
    <t>3.1.3</t>
  </si>
  <si>
    <t>3.1.4</t>
  </si>
  <si>
    <t>3.2.1</t>
  </si>
  <si>
    <t>3.2.2</t>
  </si>
  <si>
    <t>3.3.3</t>
  </si>
  <si>
    <t>3.3.1</t>
  </si>
  <si>
    <t>3.3.2</t>
  </si>
  <si>
    <t>3.4.1</t>
  </si>
  <si>
    <t>3.4.2</t>
  </si>
  <si>
    <t>3.4.3</t>
  </si>
  <si>
    <t>3.4.4</t>
  </si>
  <si>
    <t>Monitoring and Controlling</t>
  </si>
  <si>
    <t>Closing</t>
  </si>
  <si>
    <t>Weekly Cost Breakdown</t>
  </si>
  <si>
    <t>WBS Activity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</si>
  <si>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</si>
  <si>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</si>
  <si>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</si>
  <si>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</si>
  <si>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</si>
  <si>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</si>
  <si>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</si>
  <si>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</si>
  <si>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</si>
  <si>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</si>
  <si>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</si>
  <si>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</si>
  <si>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</si>
  <si>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</si>
  <si>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Total Hrs</t>
  </si>
  <si>
    <t>2. Planning (Scope, WBS, Work Items, Cost Estimate, Mgmt Plans)</t>
  </si>
  <si>
    <t>3.1 Requirements Gathering</t>
  </si>
  <si>
    <t>3.2 System Architecture Design</t>
  </si>
  <si>
    <t>3.4 UI/UX Wireframes (Figma)</t>
  </si>
  <si>
    <t>4.1 UC1 User Registration and Privacy</t>
  </si>
  <si>
    <t>4.2 UC2 Food Inventory Management</t>
  </si>
  <si>
    <t>4.3 UC3 Browse and Claim Donations</t>
  </si>
  <si>
    <t>5.1 UC4 Food Analytics Dashboard</t>
  </si>
  <si>
    <t>5.2 UC5 Notifications System</t>
  </si>
  <si>
    <t>5.3 UC6 Weekly Meal Planner</t>
  </si>
  <si>
    <t>6.1 White Box Testing (pytest)</t>
  </si>
  <si>
    <t>6.2 Black Box Testing (Selenium)</t>
  </si>
  <si>
    <t>6.3 User Acceptance Testing (UAT)</t>
  </si>
  <si>
    <t>6.4 Bug Fixing</t>
  </si>
  <si>
    <t>7.1 Local Environment Setup</t>
  </si>
  <si>
    <t>7.2 Application Demonstration Preparation</t>
  </si>
  <si>
    <t>Cost (RM)</t>
  </si>
  <si>
    <t>1. Initiating (Business Case, Three Sphere Model, Charter)</t>
  </si>
  <si>
    <t>3.3 Database Schema Design</t>
  </si>
  <si>
    <t>Total Hours / Week</t>
  </si>
  <si>
    <t>Cost / Week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</si>
</sst>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/>
    </xf>
    <xf numFmtId="3" fontId="3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1A9ABBE0-88AE-4476-87D2-EFCF6F57BB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4FB3-66FF-464D-96F4-B3DCC0FAC530}">
  <dimension ref="A1:R82"/>
  <sheetViews>
    <sheetView tabSelected="1" workbookViewId="0">
      <selection activeCell="M39" sqref="M39"/>
    </sheetView>
  </sheetViews>
  <sheetFormatPr defaultRowHeight="15.6" x14ac:dyDescent="0.3"/>
  <cols>
    <col min="1" max="1" width="8.3984375" style="5" customWidth="1"/>
    <col min="2" max="2" width="33.59765625" style="2" customWidth="1"/>
    <col min="3" max="5" width="8.796875" style="2"/>
    <col min="6" max="6" width="8.796875" style="2" customWidth="1"/>
    <col min="7" max="7" width="8.796875" style="2"/>
    <col min="8" max="9" width="8.796875" style="2" customWidth="1"/>
    <col min="10" max="16384" width="8.796875" style="2"/>
  </cols>
  <sheetData>
    <row r="1" spans="1:1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x14ac:dyDescent="0.3">
      <c r="A2" s="3"/>
      <c r="B2" s="2" t="s">
        <v>56</v>
      </c>
      <c r="E2" s="4" t="s">
        <v>59</v>
      </c>
    </row>
    <row r="3" spans="1:11" x14ac:dyDescent="0.3">
      <c r="B3" s="2" t="s">
        <v>57</v>
      </c>
    </row>
    <row r="5" spans="1:11" x14ac:dyDescent="0.3">
      <c r="A5" s="3" t="s">
        <v>9</v>
      </c>
      <c r="B5" s="3" t="s">
        <v>10</v>
      </c>
      <c r="C5" s="1" t="s">
        <v>1</v>
      </c>
      <c r="D5" s="1" t="s">
        <v>4</v>
      </c>
      <c r="E5" s="1" t="s">
        <v>1</v>
      </c>
      <c r="F5" s="1" t="s">
        <v>2</v>
      </c>
      <c r="G5" s="1" t="s">
        <v>4</v>
      </c>
      <c r="H5" s="1" t="s">
        <v>2</v>
      </c>
      <c r="I5" s="1" t="s">
        <v>3</v>
      </c>
      <c r="J5" s="1" t="s">
        <v>31</v>
      </c>
      <c r="K5" s="1" t="s">
        <v>3</v>
      </c>
    </row>
    <row r="6" spans="1:11" x14ac:dyDescent="0.3">
      <c r="C6" s="1" t="s">
        <v>5</v>
      </c>
      <c r="D6" s="6"/>
      <c r="E6" s="1" t="s">
        <v>6</v>
      </c>
      <c r="F6" s="1" t="s">
        <v>5</v>
      </c>
      <c r="G6" s="6"/>
      <c r="H6" s="1" t="s">
        <v>6</v>
      </c>
      <c r="I6" s="1" t="s">
        <v>7</v>
      </c>
      <c r="J6" s="1" t="s">
        <v>32</v>
      </c>
      <c r="K6" s="1" t="s">
        <v>8</v>
      </c>
    </row>
    <row r="7" spans="1:11" s="8" customFormat="1" x14ac:dyDescent="0.3">
      <c r="A7" s="7">
        <v>1</v>
      </c>
      <c r="B7" s="8" t="s">
        <v>33</v>
      </c>
    </row>
    <row r="8" spans="1:11" x14ac:dyDescent="0.3">
      <c r="A8" s="5">
        <v>1.1000000000000001</v>
      </c>
      <c r="B8" s="2" t="s">
        <v>34</v>
      </c>
      <c r="C8" s="2">
        <v>34</v>
      </c>
      <c r="D8" s="2">
        <v>80</v>
      </c>
      <c r="E8" s="2">
        <f>C8*D8</f>
        <v>2720</v>
      </c>
      <c r="F8" s="2">
        <v>0</v>
      </c>
      <c r="H8" s="2">
        <v>0</v>
      </c>
      <c r="I8" s="2">
        <f>E8+H8</f>
        <v>2720</v>
      </c>
      <c r="K8" s="2">
        <f>I8+J8</f>
        <v>2720</v>
      </c>
    </row>
    <row r="9" spans="1:11" x14ac:dyDescent="0.3">
      <c r="A9" s="5">
        <v>1.2</v>
      </c>
      <c r="B9" s="2" t="s">
        <v>35</v>
      </c>
      <c r="C9" s="2">
        <v>34</v>
      </c>
      <c r="D9" s="2">
        <v>80</v>
      </c>
      <c r="E9" s="2">
        <f t="shared" ref="E9:E44" si="0">C9*D9</f>
        <v>2720</v>
      </c>
      <c r="F9" s="2">
        <v>0</v>
      </c>
      <c r="H9" s="2">
        <v>0</v>
      </c>
      <c r="I9" s="2">
        <f t="shared" ref="I9:I44" si="1">E9+H9</f>
        <v>2720</v>
      </c>
      <c r="K9" s="2">
        <f t="shared" ref="K9:K44" si="2">I9+J9</f>
        <v>2720</v>
      </c>
    </row>
    <row r="10" spans="1:11" x14ac:dyDescent="0.3">
      <c r="A10" s="5">
        <v>1.3</v>
      </c>
      <c r="B10" s="2" t="s">
        <v>36</v>
      </c>
      <c r="C10" s="2">
        <v>29</v>
      </c>
      <c r="D10" s="2">
        <v>80</v>
      </c>
      <c r="E10" s="2">
        <f t="shared" si="0"/>
        <v>2320</v>
      </c>
      <c r="F10" s="2">
        <v>0</v>
      </c>
      <c r="H10" s="2">
        <v>0</v>
      </c>
      <c r="I10" s="2">
        <f t="shared" si="1"/>
        <v>2320</v>
      </c>
      <c r="K10" s="2">
        <f t="shared" si="2"/>
        <v>2320</v>
      </c>
    </row>
    <row r="11" spans="1:11" s="8" customFormat="1" x14ac:dyDescent="0.3">
      <c r="A11" s="9">
        <v>2</v>
      </c>
      <c r="B11" s="8" t="s">
        <v>37</v>
      </c>
    </row>
    <row r="12" spans="1:11" x14ac:dyDescent="0.3">
      <c r="A12" s="5">
        <v>2.1</v>
      </c>
      <c r="B12" s="2" t="s">
        <v>38</v>
      </c>
      <c r="C12" s="2">
        <v>17</v>
      </c>
      <c r="D12" s="2">
        <v>80</v>
      </c>
      <c r="E12" s="2">
        <f t="shared" si="0"/>
        <v>1360</v>
      </c>
      <c r="F12" s="2">
        <v>0</v>
      </c>
      <c r="H12" s="2">
        <v>0</v>
      </c>
      <c r="I12" s="2">
        <f t="shared" si="1"/>
        <v>1360</v>
      </c>
      <c r="K12" s="2">
        <f t="shared" si="2"/>
        <v>1360</v>
      </c>
    </row>
    <row r="13" spans="1:11" x14ac:dyDescent="0.3">
      <c r="A13" s="5">
        <v>2.2000000000000002</v>
      </c>
      <c r="B13" s="2" t="s">
        <v>39</v>
      </c>
      <c r="C13" s="2">
        <v>11</v>
      </c>
      <c r="D13" s="2">
        <v>80</v>
      </c>
      <c r="E13" s="2">
        <f t="shared" si="0"/>
        <v>880</v>
      </c>
      <c r="F13" s="2">
        <v>0</v>
      </c>
      <c r="H13" s="2">
        <v>0</v>
      </c>
      <c r="I13" s="2">
        <f t="shared" si="1"/>
        <v>880</v>
      </c>
      <c r="K13" s="2">
        <f t="shared" si="2"/>
        <v>880</v>
      </c>
    </row>
    <row r="14" spans="1:11" x14ac:dyDescent="0.3">
      <c r="A14" s="5">
        <v>2.2999999999999998</v>
      </c>
      <c r="B14" s="2" t="s">
        <v>40</v>
      </c>
      <c r="C14" s="2">
        <v>17</v>
      </c>
      <c r="D14" s="2">
        <v>80</v>
      </c>
      <c r="E14" s="2">
        <f t="shared" si="0"/>
        <v>1360</v>
      </c>
      <c r="F14" s="2">
        <v>0</v>
      </c>
      <c r="H14" s="2">
        <v>0</v>
      </c>
      <c r="I14" s="2">
        <f t="shared" si="1"/>
        <v>1360</v>
      </c>
      <c r="K14" s="2">
        <f t="shared" si="2"/>
        <v>1360</v>
      </c>
    </row>
    <row r="15" spans="1:11" x14ac:dyDescent="0.3">
      <c r="A15" s="5">
        <v>2.4</v>
      </c>
      <c r="B15" s="2" t="s">
        <v>0</v>
      </c>
      <c r="C15" s="2">
        <v>17</v>
      </c>
      <c r="D15" s="2">
        <v>80</v>
      </c>
      <c r="E15" s="2">
        <f t="shared" si="0"/>
        <v>1360</v>
      </c>
      <c r="F15" s="2">
        <v>0</v>
      </c>
      <c r="H15" s="2">
        <v>0</v>
      </c>
      <c r="I15" s="2">
        <f t="shared" si="1"/>
        <v>1360</v>
      </c>
      <c r="K15" s="2">
        <f t="shared" si="2"/>
        <v>1360</v>
      </c>
    </row>
    <row r="16" spans="1:11" x14ac:dyDescent="0.3">
      <c r="A16" s="5">
        <v>2.5</v>
      </c>
      <c r="B16" s="2" t="s">
        <v>41</v>
      </c>
      <c r="C16" s="2">
        <v>11</v>
      </c>
      <c r="D16" s="2">
        <v>80</v>
      </c>
      <c r="E16" s="2">
        <f t="shared" si="0"/>
        <v>880</v>
      </c>
      <c r="F16" s="2">
        <v>0</v>
      </c>
      <c r="H16" s="2">
        <v>0</v>
      </c>
      <c r="I16" s="2">
        <f t="shared" si="1"/>
        <v>880</v>
      </c>
      <c r="K16" s="2">
        <f t="shared" si="2"/>
        <v>880</v>
      </c>
    </row>
    <row r="17" spans="1:11" x14ac:dyDescent="0.3">
      <c r="A17" s="5">
        <v>2.6</v>
      </c>
      <c r="B17" s="2" t="s">
        <v>42</v>
      </c>
      <c r="C17" s="2">
        <v>17</v>
      </c>
      <c r="D17" s="2">
        <v>80</v>
      </c>
      <c r="E17" s="2">
        <f t="shared" si="0"/>
        <v>1360</v>
      </c>
      <c r="F17" s="2">
        <v>0</v>
      </c>
      <c r="H17" s="2">
        <v>0</v>
      </c>
      <c r="I17" s="2">
        <f t="shared" si="1"/>
        <v>1360</v>
      </c>
      <c r="K17" s="2">
        <f t="shared" si="2"/>
        <v>1360</v>
      </c>
    </row>
    <row r="18" spans="1:11" x14ac:dyDescent="0.3">
      <c r="A18" s="5">
        <v>2.7</v>
      </c>
      <c r="B18" s="2" t="s">
        <v>43</v>
      </c>
      <c r="C18" s="2">
        <v>23</v>
      </c>
      <c r="D18" s="2">
        <v>80</v>
      </c>
      <c r="E18" s="2">
        <f t="shared" si="0"/>
        <v>1840</v>
      </c>
      <c r="F18" s="2">
        <v>0</v>
      </c>
      <c r="H18" s="2">
        <v>0</v>
      </c>
      <c r="I18" s="2">
        <f t="shared" si="1"/>
        <v>1840</v>
      </c>
      <c r="K18" s="2">
        <f t="shared" si="2"/>
        <v>1840</v>
      </c>
    </row>
    <row r="19" spans="1:11" x14ac:dyDescent="0.3">
      <c r="A19" s="5">
        <v>2.8</v>
      </c>
      <c r="B19" s="2" t="s">
        <v>44</v>
      </c>
      <c r="C19" s="2">
        <v>11</v>
      </c>
      <c r="D19" s="2">
        <v>80</v>
      </c>
      <c r="E19" s="2">
        <f t="shared" si="0"/>
        <v>880</v>
      </c>
      <c r="F19" s="2">
        <v>0</v>
      </c>
      <c r="H19" s="2">
        <v>0</v>
      </c>
      <c r="I19" s="2">
        <f t="shared" si="1"/>
        <v>880</v>
      </c>
      <c r="K19" s="2">
        <f t="shared" si="2"/>
        <v>880</v>
      </c>
    </row>
    <row r="20" spans="1:11" x14ac:dyDescent="0.3">
      <c r="A20" s="5">
        <v>2.9</v>
      </c>
      <c r="B20" s="2" t="s">
        <v>45</v>
      </c>
      <c r="C20" s="2">
        <v>6</v>
      </c>
      <c r="D20" s="2">
        <v>80</v>
      </c>
      <c r="E20" s="2">
        <f t="shared" si="0"/>
        <v>480</v>
      </c>
      <c r="F20" s="2">
        <v>0</v>
      </c>
      <c r="H20" s="2">
        <v>0</v>
      </c>
      <c r="I20" s="2">
        <f t="shared" si="1"/>
        <v>480</v>
      </c>
      <c r="K20" s="2">
        <f t="shared" si="2"/>
        <v>480</v>
      </c>
    </row>
    <row r="21" spans="1:11" s="8" customFormat="1" x14ac:dyDescent="0.3">
      <c r="A21" s="9">
        <v>3</v>
      </c>
      <c r="B21" s="8" t="s">
        <v>60</v>
      </c>
    </row>
    <row r="22" spans="1:11" s="8" customFormat="1" x14ac:dyDescent="0.3">
      <c r="A22" s="9">
        <v>3.1</v>
      </c>
      <c r="B22" s="8" t="s">
        <v>46</v>
      </c>
      <c r="H22" s="8">
        <v>0</v>
      </c>
    </row>
    <row r="23" spans="1:11" x14ac:dyDescent="0.3">
      <c r="A23" s="5" t="s">
        <v>61</v>
      </c>
      <c r="B23" s="2" t="s">
        <v>47</v>
      </c>
      <c r="C23" s="2">
        <v>6</v>
      </c>
      <c r="D23" s="2">
        <v>80</v>
      </c>
      <c r="E23" s="2">
        <f t="shared" si="0"/>
        <v>480</v>
      </c>
      <c r="F23" s="2">
        <v>0</v>
      </c>
      <c r="H23" s="2">
        <v>0</v>
      </c>
      <c r="I23" s="2">
        <f t="shared" si="1"/>
        <v>480</v>
      </c>
      <c r="K23" s="2">
        <f t="shared" si="2"/>
        <v>480</v>
      </c>
    </row>
    <row r="24" spans="1:11" x14ac:dyDescent="0.3">
      <c r="A24" s="5" t="s">
        <v>62</v>
      </c>
      <c r="B24" s="2" t="s">
        <v>48</v>
      </c>
      <c r="C24" s="2">
        <v>6</v>
      </c>
      <c r="D24" s="2">
        <v>80</v>
      </c>
      <c r="E24" s="2">
        <f t="shared" si="0"/>
        <v>480</v>
      </c>
      <c r="F24" s="2">
        <v>0</v>
      </c>
      <c r="H24" s="2">
        <v>0</v>
      </c>
      <c r="I24" s="2">
        <f t="shared" si="1"/>
        <v>480</v>
      </c>
      <c r="K24" s="2">
        <f t="shared" si="2"/>
        <v>480</v>
      </c>
    </row>
    <row r="25" spans="1:11" x14ac:dyDescent="0.3">
      <c r="A25" s="5" t="s">
        <v>63</v>
      </c>
      <c r="B25" s="2" t="s">
        <v>49</v>
      </c>
      <c r="C25" s="2">
        <v>11</v>
      </c>
      <c r="D25" s="2">
        <v>80</v>
      </c>
      <c r="E25" s="2">
        <f t="shared" si="0"/>
        <v>880</v>
      </c>
      <c r="F25" s="2">
        <v>0</v>
      </c>
      <c r="H25" s="2">
        <v>0</v>
      </c>
      <c r="I25" s="2">
        <f t="shared" si="1"/>
        <v>880</v>
      </c>
      <c r="K25" s="2">
        <f t="shared" si="2"/>
        <v>880</v>
      </c>
    </row>
    <row r="26" spans="1:11" x14ac:dyDescent="0.3">
      <c r="A26" s="5" t="s">
        <v>64</v>
      </c>
      <c r="B26" s="2" t="s">
        <v>50</v>
      </c>
      <c r="C26" s="2">
        <v>11</v>
      </c>
      <c r="D26" s="2">
        <v>80</v>
      </c>
      <c r="E26" s="2">
        <f t="shared" si="0"/>
        <v>880</v>
      </c>
      <c r="F26" s="2">
        <v>0</v>
      </c>
      <c r="H26" s="2">
        <v>0</v>
      </c>
      <c r="I26" s="2">
        <f t="shared" si="1"/>
        <v>880</v>
      </c>
      <c r="J26" s="2">
        <v>5000</v>
      </c>
      <c r="K26" s="2">
        <f t="shared" si="2"/>
        <v>5880</v>
      </c>
    </row>
    <row r="27" spans="1:11" s="8" customFormat="1" x14ac:dyDescent="0.3">
      <c r="A27" s="9">
        <v>3.2</v>
      </c>
      <c r="B27" s="8" t="s">
        <v>51</v>
      </c>
    </row>
    <row r="28" spans="1:11" x14ac:dyDescent="0.3">
      <c r="A28" s="5" t="s">
        <v>65</v>
      </c>
      <c r="B28" s="2" t="s">
        <v>11</v>
      </c>
      <c r="C28" s="2">
        <v>86</v>
      </c>
      <c r="D28" s="2">
        <v>80</v>
      </c>
      <c r="E28" s="2">
        <f t="shared" si="0"/>
        <v>6880</v>
      </c>
      <c r="F28" s="2">
        <v>0</v>
      </c>
      <c r="H28" s="2">
        <v>0</v>
      </c>
      <c r="I28" s="2">
        <f t="shared" si="1"/>
        <v>6880</v>
      </c>
      <c r="K28" s="2">
        <f t="shared" si="2"/>
        <v>6880</v>
      </c>
    </row>
    <row r="29" spans="1:11" x14ac:dyDescent="0.3">
      <c r="A29" s="5" t="s">
        <v>66</v>
      </c>
      <c r="B29" s="2" t="s">
        <v>12</v>
      </c>
      <c r="C29" s="2">
        <v>86</v>
      </c>
      <c r="D29" s="2">
        <v>80</v>
      </c>
      <c r="E29" s="2">
        <f t="shared" si="0"/>
        <v>6880</v>
      </c>
      <c r="F29" s="2">
        <v>0</v>
      </c>
      <c r="H29" s="2">
        <v>0</v>
      </c>
      <c r="I29" s="2">
        <f t="shared" si="1"/>
        <v>6880</v>
      </c>
      <c r="K29" s="2">
        <f t="shared" si="2"/>
        <v>6880</v>
      </c>
    </row>
    <row r="30" spans="1:11" x14ac:dyDescent="0.3">
      <c r="A30" s="5" t="s">
        <v>67</v>
      </c>
      <c r="B30" s="2" t="s">
        <v>13</v>
      </c>
      <c r="C30" s="2">
        <v>86</v>
      </c>
      <c r="D30" s="2">
        <v>80</v>
      </c>
      <c r="E30" s="2">
        <f t="shared" si="0"/>
        <v>6880</v>
      </c>
      <c r="F30" s="2">
        <v>0</v>
      </c>
      <c r="H30" s="2">
        <v>0</v>
      </c>
      <c r="I30" s="2">
        <f t="shared" si="1"/>
        <v>6880</v>
      </c>
      <c r="K30" s="2">
        <f t="shared" si="2"/>
        <v>6880</v>
      </c>
    </row>
    <row r="31" spans="1:11" s="8" customFormat="1" x14ac:dyDescent="0.3">
      <c r="A31" s="9">
        <v>3.3</v>
      </c>
      <c r="B31" s="8" t="s">
        <v>52</v>
      </c>
    </row>
    <row r="32" spans="1:11" x14ac:dyDescent="0.3">
      <c r="A32" s="5" t="s">
        <v>68</v>
      </c>
      <c r="B32" s="2" t="s">
        <v>14</v>
      </c>
      <c r="C32" s="2">
        <v>97</v>
      </c>
      <c r="D32" s="2">
        <v>80</v>
      </c>
      <c r="E32" s="2">
        <f t="shared" si="0"/>
        <v>7760</v>
      </c>
      <c r="F32" s="2">
        <v>0</v>
      </c>
      <c r="H32" s="2">
        <v>0</v>
      </c>
      <c r="I32" s="2">
        <f t="shared" si="1"/>
        <v>7760</v>
      </c>
      <c r="K32" s="2">
        <f t="shared" si="2"/>
        <v>7760</v>
      </c>
    </row>
    <row r="33" spans="1:11" x14ac:dyDescent="0.3">
      <c r="A33" s="5" t="s">
        <v>69</v>
      </c>
      <c r="B33" s="2" t="s">
        <v>15</v>
      </c>
      <c r="C33" s="2">
        <v>97</v>
      </c>
      <c r="D33" s="2">
        <v>80</v>
      </c>
      <c r="E33" s="2">
        <f t="shared" si="0"/>
        <v>7760</v>
      </c>
      <c r="F33" s="2">
        <v>0</v>
      </c>
      <c r="H33" s="2">
        <v>0</v>
      </c>
      <c r="I33" s="2">
        <f t="shared" si="1"/>
        <v>7760</v>
      </c>
      <c r="K33" s="2">
        <f t="shared" si="2"/>
        <v>7760</v>
      </c>
    </row>
    <row r="34" spans="1:11" x14ac:dyDescent="0.3">
      <c r="A34" s="5" t="s">
        <v>67</v>
      </c>
      <c r="B34" s="2" t="s">
        <v>16</v>
      </c>
      <c r="C34" s="2">
        <v>97</v>
      </c>
      <c r="D34" s="2">
        <v>80</v>
      </c>
      <c r="E34" s="2">
        <f t="shared" si="0"/>
        <v>7760</v>
      </c>
      <c r="F34" s="2">
        <v>0</v>
      </c>
      <c r="H34" s="2">
        <v>0</v>
      </c>
      <c r="I34" s="2">
        <f t="shared" si="1"/>
        <v>7760</v>
      </c>
      <c r="K34" s="2">
        <f t="shared" si="2"/>
        <v>7760</v>
      </c>
    </row>
    <row r="35" spans="1:11" s="8" customFormat="1" x14ac:dyDescent="0.3">
      <c r="A35" s="9">
        <v>3.4</v>
      </c>
      <c r="B35" s="8" t="s">
        <v>53</v>
      </c>
    </row>
    <row r="36" spans="1:11" x14ac:dyDescent="0.3">
      <c r="A36" s="5" t="s">
        <v>70</v>
      </c>
      <c r="B36" s="2" t="s">
        <v>17</v>
      </c>
      <c r="C36" s="2">
        <v>29</v>
      </c>
      <c r="D36" s="2">
        <v>80</v>
      </c>
      <c r="E36" s="2">
        <f t="shared" si="0"/>
        <v>2320</v>
      </c>
      <c r="F36" s="2">
        <v>0</v>
      </c>
      <c r="H36" s="2">
        <v>0</v>
      </c>
      <c r="I36" s="2">
        <f t="shared" si="1"/>
        <v>2320</v>
      </c>
      <c r="K36" s="2">
        <f t="shared" si="2"/>
        <v>2320</v>
      </c>
    </row>
    <row r="37" spans="1:11" x14ac:dyDescent="0.3">
      <c r="A37" s="5" t="s">
        <v>71</v>
      </c>
      <c r="B37" s="2" t="s">
        <v>18</v>
      </c>
      <c r="C37" s="2">
        <v>17</v>
      </c>
      <c r="D37" s="2">
        <v>80</v>
      </c>
      <c r="E37" s="2">
        <f t="shared" si="0"/>
        <v>1360</v>
      </c>
      <c r="F37" s="2">
        <v>0</v>
      </c>
      <c r="H37" s="2">
        <v>0</v>
      </c>
      <c r="I37" s="2">
        <f t="shared" si="1"/>
        <v>1360</v>
      </c>
      <c r="K37" s="2">
        <f t="shared" si="2"/>
        <v>1360</v>
      </c>
    </row>
    <row r="38" spans="1:11" x14ac:dyDescent="0.3">
      <c r="A38" s="5" t="s">
        <v>72</v>
      </c>
      <c r="B38" s="2" t="s">
        <v>19</v>
      </c>
      <c r="C38" s="2">
        <v>11</v>
      </c>
      <c r="D38" s="2">
        <v>80</v>
      </c>
      <c r="E38" s="2">
        <f t="shared" si="0"/>
        <v>880</v>
      </c>
      <c r="F38" s="2">
        <v>0</v>
      </c>
      <c r="H38" s="2">
        <v>0</v>
      </c>
      <c r="I38" s="2">
        <f t="shared" si="1"/>
        <v>880</v>
      </c>
      <c r="K38" s="2">
        <f t="shared" si="2"/>
        <v>880</v>
      </c>
    </row>
    <row r="39" spans="1:11" x14ac:dyDescent="0.3">
      <c r="A39" s="5" t="s">
        <v>73</v>
      </c>
      <c r="B39" s="2" t="s">
        <v>20</v>
      </c>
      <c r="C39" s="2">
        <v>29</v>
      </c>
      <c r="D39" s="2">
        <v>80</v>
      </c>
      <c r="E39" s="2">
        <f t="shared" si="0"/>
        <v>2320</v>
      </c>
      <c r="F39" s="2">
        <v>0</v>
      </c>
      <c r="H39" s="2">
        <v>0</v>
      </c>
      <c r="I39" s="2">
        <f t="shared" si="1"/>
        <v>2320</v>
      </c>
      <c r="K39" s="2">
        <f t="shared" si="2"/>
        <v>2320</v>
      </c>
    </row>
    <row r="40" spans="1:11" s="8" customFormat="1" x14ac:dyDescent="0.3">
      <c r="A40" s="9">
        <v>4</v>
      </c>
      <c r="B40" s="8" t="s">
        <v>74</v>
      </c>
    </row>
    <row r="41" spans="1:11" s="8" customFormat="1" x14ac:dyDescent="0.3">
      <c r="A41" s="9">
        <v>4.0999999999999996</v>
      </c>
      <c r="B41" s="2" t="s">
        <v>22</v>
      </c>
      <c r="C41" s="2">
        <v>6</v>
      </c>
      <c r="D41" s="2">
        <v>80</v>
      </c>
      <c r="E41" s="2">
        <f>C41*D41</f>
        <v>480</v>
      </c>
      <c r="F41" s="2">
        <v>0</v>
      </c>
      <c r="G41" s="2"/>
      <c r="H41" s="2">
        <v>0</v>
      </c>
      <c r="I41" s="2">
        <f>E41+H41</f>
        <v>480</v>
      </c>
      <c r="J41" s="2"/>
      <c r="K41" s="2">
        <f>I41+J41</f>
        <v>480</v>
      </c>
    </row>
    <row r="42" spans="1:11" s="8" customFormat="1" x14ac:dyDescent="0.3">
      <c r="A42" s="9">
        <v>5</v>
      </c>
      <c r="B42" s="8" t="s">
        <v>75</v>
      </c>
    </row>
    <row r="43" spans="1:11" x14ac:dyDescent="0.3">
      <c r="A43" s="5">
        <v>5.0999999999999996</v>
      </c>
      <c r="B43" s="2" t="s">
        <v>21</v>
      </c>
      <c r="C43" s="2">
        <v>6</v>
      </c>
      <c r="D43" s="2">
        <v>80</v>
      </c>
      <c r="E43" s="2">
        <f t="shared" si="0"/>
        <v>480</v>
      </c>
      <c r="F43" s="2">
        <v>0</v>
      </c>
      <c r="H43" s="2">
        <v>0</v>
      </c>
      <c r="I43" s="2">
        <f t="shared" si="1"/>
        <v>480</v>
      </c>
      <c r="J43" s="2">
        <v>6000</v>
      </c>
      <c r="K43" s="2">
        <f t="shared" si="2"/>
        <v>6480</v>
      </c>
    </row>
    <row r="45" spans="1:11" x14ac:dyDescent="0.3">
      <c r="A45" s="4" t="s">
        <v>23</v>
      </c>
      <c r="C45" s="2">
        <f>SUM(C8:C43)</f>
        <v>908</v>
      </c>
      <c r="E45" s="2">
        <f>SUM(E8:E43)</f>
        <v>72640</v>
      </c>
      <c r="I45" s="2">
        <f>SUM(I8:I43)</f>
        <v>72640</v>
      </c>
      <c r="J45" s="2">
        <f>SUM(J8:J43)</f>
        <v>11000</v>
      </c>
      <c r="K45" s="2">
        <f>SUM(K8:K43)</f>
        <v>83640</v>
      </c>
    </row>
    <row r="46" spans="1:11" x14ac:dyDescent="0.3">
      <c r="A46" s="4" t="s">
        <v>24</v>
      </c>
      <c r="K46" s="2">
        <f>K45*0.1</f>
        <v>8364</v>
      </c>
    </row>
    <row r="47" spans="1:11" x14ac:dyDescent="0.3">
      <c r="A47" s="4" t="s">
        <v>25</v>
      </c>
      <c r="C47" s="2">
        <f>C45</f>
        <v>908</v>
      </c>
      <c r="K47" s="2">
        <f>K45+K46</f>
        <v>92004</v>
      </c>
    </row>
    <row r="49" spans="1:18" x14ac:dyDescent="0.3">
      <c r="A49" s="4" t="s">
        <v>26</v>
      </c>
    </row>
    <row r="50" spans="1:18" x14ac:dyDescent="0.3">
      <c r="A50" s="10" t="s">
        <v>27</v>
      </c>
    </row>
    <row r="51" spans="1:18" x14ac:dyDescent="0.3">
      <c r="A51" s="10" t="s">
        <v>54</v>
      </c>
    </row>
    <row r="52" spans="1:18" x14ac:dyDescent="0.3">
      <c r="A52" s="10" t="s">
        <v>58</v>
      </c>
    </row>
    <row r="53" spans="1:18" x14ac:dyDescent="0.3">
      <c r="A53" s="10" t="s">
        <v>28</v>
      </c>
    </row>
    <row r="54" spans="1:18" x14ac:dyDescent="0.3">
      <c r="A54" s="10" t="s">
        <v>29</v>
      </c>
    </row>
    <row r="55" spans="1:18" x14ac:dyDescent="0.3">
      <c r="A55" s="10" t="s">
        <v>30</v>
      </c>
    </row>
    <row r="56" spans="1:18" x14ac:dyDescent="0.3">
      <c r="A56" s="10" t="s">
        <v>55</v>
      </c>
    </row>
    <row r="59" spans="1:18" x14ac:dyDescent="0.3">
      <c r="B59" s="8" t="s">
        <v>76</v>
      </c>
    </row>
    <row r="62" spans="1:18" x14ac:dyDescent="0.3">
      <c r="B62" s="2" t="s">
        <v>77</v>
      </c>
      <c r="C62" s="2" t="s">
        <v>78</v>
      </c>
      <c r="D62" s="2" t="s">
        <v>79</v>
      </c>
      <c r="E62" s="2" t="s">
        <v>80</v>
      </c>
      <c r="F62" s="2" t="s">
        <v>81</v>
      </c>
      <c r="G62" s="2" t="s">
        <v>82</v>
      </c>
      <c r="H62" s="2" t="s">
        <v>83</v>
      </c>
      <c r="I62" s="2" t="s">
        <v>84</v>
      </c>
      <c r="J62" s="2" t="s">
        <v>85</v>
      </c>
      <c r="K62" s="2" t="s">
        <v>86</v>
      </c>
      <c r="L62" s="2" t="s">
        <v>87</v>
      </c>
      <c r="M62" s="2" t="s">
        <v>88</v>
      </c>
      <c r="N62" s="2" t="s">
        <v>89</v>
      </c>
      <c r="O62" s="2" t="s">
        <v>90</v>
      </c>
      <c r="P62" s="2" t="s">
        <v>91</v>
      </c>
      <c r="Q62" s="2" t="s">
        <v>92</v>
      </c>
      <c r="R62" s="2" t="s">
        <v>109</v>
      </c>
    </row>
    <row r="63" spans="1:18" x14ac:dyDescent="0.3">
      <c r="B63" s="2" t="s">
        <v>110</v>
      </c>
      <c r="C63" s="2">
        <v>40</v>
      </c>
      <c r="D63" s="2">
        <v>40</v>
      </c>
      <c r="E63" s="2">
        <v>17</v>
      </c>
      <c r="Q63" s="2">
        <v>97</v>
      </c>
      <c r="R63" s="12">
        <v>7760</v>
      </c>
    </row>
    <row r="64" spans="1:18" x14ac:dyDescent="0.3">
      <c r="B64" s="2" t="s">
        <v>93</v>
      </c>
      <c r="D64" s="2">
        <v>23</v>
      </c>
      <c r="E64" s="2">
        <v>40</v>
      </c>
      <c r="F64" s="2">
        <v>40</v>
      </c>
      <c r="G64" s="2">
        <v>28</v>
      </c>
      <c r="Q64" s="2">
        <v>130</v>
      </c>
      <c r="R64" s="12">
        <v>10400</v>
      </c>
    </row>
    <row r="65" spans="2:18" x14ac:dyDescent="0.3">
      <c r="B65" s="2" t="s">
        <v>94</v>
      </c>
      <c r="G65" s="2">
        <v>6</v>
      </c>
      <c r="Q65" s="2">
        <v>6</v>
      </c>
      <c r="R65" s="2">
        <v>480</v>
      </c>
    </row>
    <row r="66" spans="2:18" x14ac:dyDescent="0.3">
      <c r="B66" s="2" t="s">
        <v>95</v>
      </c>
      <c r="G66" s="2">
        <v>6</v>
      </c>
      <c r="Q66" s="2">
        <v>6</v>
      </c>
      <c r="R66" s="2">
        <v>480</v>
      </c>
    </row>
    <row r="67" spans="2:18" x14ac:dyDescent="0.3">
      <c r="B67" s="2" t="s">
        <v>111</v>
      </c>
      <c r="H67" s="2">
        <v>11</v>
      </c>
      <c r="Q67" s="2">
        <v>11</v>
      </c>
      <c r="R67" s="2">
        <v>880</v>
      </c>
    </row>
    <row r="68" spans="2:18" x14ac:dyDescent="0.3">
      <c r="B68" s="2" t="s">
        <v>96</v>
      </c>
      <c r="H68" s="2">
        <v>11</v>
      </c>
      <c r="Q68" s="2">
        <v>11</v>
      </c>
      <c r="R68" s="2">
        <v>880</v>
      </c>
    </row>
    <row r="69" spans="2:18" x14ac:dyDescent="0.3">
      <c r="B69" s="2" t="s">
        <v>97</v>
      </c>
      <c r="H69" s="2">
        <v>17</v>
      </c>
      <c r="I69" s="2">
        <v>40</v>
      </c>
      <c r="J69" s="2">
        <v>29</v>
      </c>
      <c r="Q69" s="2">
        <v>86</v>
      </c>
      <c r="R69" s="12">
        <v>6880</v>
      </c>
    </row>
    <row r="70" spans="2:18" x14ac:dyDescent="0.3">
      <c r="B70" s="2" t="s">
        <v>98</v>
      </c>
      <c r="H70" s="2">
        <v>17</v>
      </c>
      <c r="I70" s="2">
        <v>40</v>
      </c>
      <c r="J70" s="2">
        <v>29</v>
      </c>
      <c r="Q70" s="2">
        <v>86</v>
      </c>
      <c r="R70" s="12">
        <v>6880</v>
      </c>
    </row>
    <row r="71" spans="2:18" x14ac:dyDescent="0.3">
      <c r="B71" s="2" t="s">
        <v>99</v>
      </c>
      <c r="H71" s="2">
        <v>17</v>
      </c>
      <c r="I71" s="2">
        <v>40</v>
      </c>
      <c r="J71" s="2">
        <v>29</v>
      </c>
      <c r="Q71" s="2">
        <v>86</v>
      </c>
      <c r="R71" s="12">
        <v>6880</v>
      </c>
    </row>
    <row r="72" spans="2:18" x14ac:dyDescent="0.3">
      <c r="B72" s="2" t="s">
        <v>100</v>
      </c>
      <c r="J72" s="2">
        <v>11</v>
      </c>
      <c r="K72" s="2">
        <v>40</v>
      </c>
      <c r="L72" s="2">
        <v>40</v>
      </c>
      <c r="M72" s="2">
        <v>6</v>
      </c>
      <c r="Q72" s="2">
        <v>97</v>
      </c>
      <c r="R72" s="12">
        <v>7760</v>
      </c>
    </row>
    <row r="73" spans="2:18" x14ac:dyDescent="0.3">
      <c r="B73" s="2" t="s">
        <v>101</v>
      </c>
      <c r="J73" s="2">
        <v>11</v>
      </c>
      <c r="K73" s="2">
        <v>40</v>
      </c>
      <c r="L73" s="2">
        <v>40</v>
      </c>
      <c r="M73" s="2">
        <v>6</v>
      </c>
      <c r="Q73" s="2">
        <v>97</v>
      </c>
      <c r="R73" s="12">
        <v>7760</v>
      </c>
    </row>
    <row r="74" spans="2:18" x14ac:dyDescent="0.3">
      <c r="B74" s="2" t="s">
        <v>102</v>
      </c>
      <c r="J74" s="2">
        <v>11</v>
      </c>
      <c r="K74" s="2">
        <v>40</v>
      </c>
      <c r="L74" s="2">
        <v>40</v>
      </c>
      <c r="M74" s="2">
        <v>6</v>
      </c>
      <c r="Q74" s="2">
        <v>97</v>
      </c>
      <c r="R74" s="12">
        <v>7760</v>
      </c>
    </row>
    <row r="75" spans="2:18" x14ac:dyDescent="0.3">
      <c r="B75" s="2" t="s">
        <v>103</v>
      </c>
      <c r="M75" s="2">
        <v>29</v>
      </c>
      <c r="Q75" s="2">
        <v>29</v>
      </c>
      <c r="R75" s="12">
        <v>2320</v>
      </c>
    </row>
    <row r="76" spans="2:18" x14ac:dyDescent="0.3">
      <c r="B76" s="2" t="s">
        <v>104</v>
      </c>
      <c r="M76" s="2">
        <v>6</v>
      </c>
      <c r="N76" s="2">
        <v>11</v>
      </c>
      <c r="Q76" s="2">
        <v>17</v>
      </c>
      <c r="R76" s="12">
        <v>1360</v>
      </c>
    </row>
    <row r="77" spans="2:18" x14ac:dyDescent="0.3">
      <c r="B77" s="2" t="s">
        <v>105</v>
      </c>
      <c r="N77" s="2">
        <v>11</v>
      </c>
      <c r="Q77" s="2">
        <v>11</v>
      </c>
      <c r="R77" s="2">
        <v>880</v>
      </c>
    </row>
    <row r="78" spans="2:18" x14ac:dyDescent="0.3">
      <c r="B78" s="2" t="s">
        <v>106</v>
      </c>
      <c r="N78" s="2">
        <v>17</v>
      </c>
      <c r="O78" s="2">
        <v>12</v>
      </c>
      <c r="Q78" s="2">
        <v>29</v>
      </c>
      <c r="R78" s="12">
        <v>2320</v>
      </c>
    </row>
    <row r="79" spans="2:18" x14ac:dyDescent="0.3">
      <c r="B79" s="2" t="s">
        <v>107</v>
      </c>
      <c r="P79" s="2">
        <v>6</v>
      </c>
      <c r="Q79" s="2">
        <v>6</v>
      </c>
      <c r="R79" s="2">
        <v>480</v>
      </c>
    </row>
    <row r="80" spans="2:18" x14ac:dyDescent="0.3">
      <c r="B80" s="2" t="s">
        <v>108</v>
      </c>
      <c r="P80" s="2">
        <v>6</v>
      </c>
      <c r="Q80" s="2">
        <v>6</v>
      </c>
      <c r="R80" s="2">
        <v>480</v>
      </c>
    </row>
    <row r="81" spans="2:18" x14ac:dyDescent="0.3">
      <c r="B81" s="2" t="s">
        <v>112</v>
      </c>
      <c r="C81" s="2">
        <v>40</v>
      </c>
      <c r="D81" s="2">
        <v>40</v>
      </c>
      <c r="E81" s="2">
        <v>40</v>
      </c>
      <c r="F81" s="2">
        <v>40</v>
      </c>
      <c r="G81" s="2">
        <v>40</v>
      </c>
      <c r="H81" s="2">
        <v>40</v>
      </c>
      <c r="I81" s="2">
        <v>74</v>
      </c>
      <c r="J81" s="2">
        <v>120</v>
      </c>
      <c r="K81" s="2">
        <v>120</v>
      </c>
      <c r="L81" s="2">
        <v>120</v>
      </c>
      <c r="M81" s="2">
        <v>120</v>
      </c>
      <c r="N81" s="2">
        <v>52</v>
      </c>
      <c r="O81" s="2">
        <v>40</v>
      </c>
      <c r="P81" s="2">
        <v>24</v>
      </c>
      <c r="Q81" s="2">
        <v>908</v>
      </c>
      <c r="R81" s="12">
        <v>72640</v>
      </c>
    </row>
    <row r="82" spans="2:18" x14ac:dyDescent="0.3">
      <c r="B82" s="2" t="s">
        <v>113</v>
      </c>
      <c r="C82" s="12">
        <v>3195</v>
      </c>
      <c r="D82" s="12">
        <v>3195</v>
      </c>
      <c r="E82" s="12">
        <v>3178</v>
      </c>
      <c r="F82" s="12">
        <v>3165</v>
      </c>
      <c r="G82" s="12">
        <v>3165</v>
      </c>
      <c r="H82" s="12">
        <v>3221</v>
      </c>
      <c r="I82" s="12">
        <v>5888</v>
      </c>
      <c r="J82" s="12">
        <v>9632</v>
      </c>
      <c r="K82" s="12">
        <v>9619</v>
      </c>
      <c r="L82" s="12">
        <v>9586</v>
      </c>
      <c r="M82" s="12">
        <v>9586</v>
      </c>
      <c r="N82" s="12">
        <v>4143</v>
      </c>
      <c r="O82" s="12">
        <v>3179</v>
      </c>
      <c r="P82" s="12">
        <v>1888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Sujina Tuladhar</dc:creator>
  <cp:lastModifiedBy>Sujina Tuladhar</cp:lastModifiedBy>
  <dcterms:created xsi:type="dcterms:W3CDTF">2026-07-09T04:49:17Z</dcterms:created>
  <dcterms:modified xsi:type="dcterms:W3CDTF">2026-07-10T05:12:47Z</dcterms:modified>
</cp:coreProperties>
</file>